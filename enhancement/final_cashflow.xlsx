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Cash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<sst xmlns="http://schemas.openxmlformats.org/spreadsheetml/2006/main" count="88" uniqueCount="51">
  <si>
    <t>Laporan Cashflow Padel NBC</t>
  </si>
  <si>
    <t>Periode: 2025-11-07 s/d 2025-11-21</t>
  </si>
  <si>
    <t>Jumat, 07 November 2025     NBC Padel - Centro</t>
  </si>
  <si>
    <t>Masuk: 750.000</t>
  </si>
  <si>
    <t>Keluar: 965.000</t>
  </si>
  <si>
    <t>Sisa: -215.000</t>
  </si>
  <si>
    <t>UANG MASUK</t>
  </si>
  <si>
    <t>UANG KELUAR</t>
  </si>
  <si>
    <t>ITEM</t>
  </si>
  <si>
    <t>AMOUNT</t>
  </si>
  <si>
    <t>PAX</t>
  </si>
  <si>
    <t>TOTAL</t>
  </si>
  <si>
    <t>Marchel</t>
  </si>
  <si>
    <t>Sewa Lapangan</t>
  </si>
  <si>
    <t>Novan</t>
  </si>
  <si>
    <t>Sewa Raket</t>
  </si>
  <si>
    <t>Deva</t>
  </si>
  <si>
    <t>Rangga R</t>
  </si>
  <si>
    <t>Rangga A</t>
  </si>
  <si>
    <t>Marc</t>
  </si>
  <si>
    <t>Kipo</t>
  </si>
  <si>
    <t>Ferdian</t>
  </si>
  <si>
    <t>Debora</t>
  </si>
  <si>
    <t>Sri Zonihastuty</t>
  </si>
  <si>
    <t>Total Masuk:</t>
  </si>
  <si>
    <t>Total Keluar:</t>
  </si>
  <si>
    <t>Jumat, 14 November 2025     NBC Padel - Centro Bintaro</t>
  </si>
  <si>
    <t>ico</t>
  </si>
  <si>
    <t>Lapangan</t>
  </si>
  <si>
    <t>Rangga</t>
  </si>
  <si>
    <t>Raket</t>
  </si>
  <si>
    <t>Altundri</t>
  </si>
  <si>
    <t>Abdi</t>
  </si>
  <si>
    <t>Diana</t>
  </si>
  <si>
    <t>Supri</t>
  </si>
  <si>
    <t>ricky</t>
  </si>
  <si>
    <t>Ichsan</t>
  </si>
  <si>
    <t>Jumat, 21 November 2025     NBC Padel - Egg Padel</t>
  </si>
  <si>
    <t>Keluar: 0</t>
  </si>
  <si>
    <t>Sisa: 750.000</t>
  </si>
  <si>
    <t>faissy</t>
  </si>
  <si>
    <t>ranggara</t>
  </si>
  <si>
    <t>Debo</t>
  </si>
  <si>
    <t>Utut</t>
  </si>
  <si>
    <t>Ferdi</t>
  </si>
  <si>
    <t>Rangga Al</t>
  </si>
  <si>
    <t>Dellarosa</t>
  </si>
  <si>
    <t>Total Keseluruhan</t>
  </si>
  <si>
    <t>Masuk:</t>
  </si>
  <si>
    <t>Keluar:</t>
  </si>
  <si>
    <t>Sisa: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</si>
</sst>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[$Rp-421]\ #,##0;[Red]\-[$Rp-421]\ #,##0"/>
  </numFmts>
  <fonts count="28">
    <font>
      <sz val="11"/>
      <color theme="1"/>
      <name val="Calibri"/>
      <charset val="134"/>
      <scheme val="minor"/>
    </font>
    <font>
      <b/>
      <sz val="18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rgb="FF374151"/>
      <name val="Calibri"/>
      <charset val="134"/>
      <scheme val="minor"/>
    </font>
    <font>
      <b/>
      <sz val="11"/>
      <color rgb="FF059669"/>
      <name val="Calibri"/>
      <charset val="134"/>
      <scheme val="minor"/>
    </font>
    <font>
      <b/>
      <sz val="11"/>
      <color rgb="FFDC2626"/>
      <name val="Calibri"/>
      <charset val="134"/>
      <scheme val="minor"/>
    </font>
    <font>
      <b/>
      <sz val="11"/>
      <color rgb="FF111827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EA5E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6F4EA"/>
        <bgColor indexed="64"/>
      </patternFill>
    </fill>
    <fill>
      <patternFill patternType="solid">
        <fgColor rgb="FFFCE8E6"/>
        <bgColor indexed="64"/>
      </patternFill>
    </fill>
    <fill>
      <patternFill patternType="solid">
        <fgColor rgb="FFC9E4A9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4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0" borderId="0" xfId="0" applyFont="1" applyFill="1" applyBorder="1" applyAlignment="1"/>
    <xf numFmtId="0" fontId="0" fillId="0" borderId="0" xfId="0" applyBorder="1"/>
    <xf numFmtId="0" fontId="4" fillId="4" borderId="0" xfId="0" applyFont="1" applyFill="1" applyBorder="1" applyAlignment="1"/>
    <xf numFmtId="0" fontId="5" fillId="5" borderId="0" xfId="0" applyFont="1" applyFill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6" fillId="7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right"/>
    </xf>
    <xf numFmtId="0" fontId="0" fillId="0" borderId="0" xfId="0" applyBorder="1" applyAlignment="1">
      <alignment horizontal="left"/>
    </xf>
    <xf numFmtId="180" fontId="0" fillId="0" borderId="0" xfId="0" applyNumberFormat="1" applyBorder="1" applyAlignment="1">
      <alignment horizontal="right"/>
    </xf>
    <xf numFmtId="3" fontId="0" fillId="0" borderId="0" xfId="0" applyNumberFormat="1" applyBorder="1" applyAlignment="1">
      <alignment horizontal="right"/>
    </xf>
    <xf numFmtId="0" fontId="7" fillId="4" borderId="0" xfId="0" applyFont="1" applyFill="1" applyBorder="1"/>
    <xf numFmtId="180" fontId="7" fillId="4" borderId="0" xfId="0" applyNumberFormat="1" applyFont="1" applyFill="1" applyBorder="1" applyAlignment="1">
      <alignment horizontal="right"/>
    </xf>
    <xf numFmtId="0" fontId="7" fillId="5" borderId="0" xfId="0" applyFont="1" applyFill="1" applyBorder="1"/>
    <xf numFmtId="0" fontId="0" fillId="8" borderId="0" xfId="0" applyFill="1" applyAlignment="1">
      <alignment horizontal="center"/>
    </xf>
    <xf numFmtId="0" fontId="7" fillId="9" borderId="0" xfId="0" applyFont="1" applyFill="1" applyBorder="1"/>
    <xf numFmtId="0" fontId="0" fillId="9" borderId="0" xfId="0" applyFill="1" applyBorder="1"/>
    <xf numFmtId="0" fontId="4" fillId="9" borderId="0" xfId="0" applyFont="1" applyFill="1" applyBorder="1"/>
    <xf numFmtId="180" fontId="4" fillId="9" borderId="0" xfId="0" applyNumberFormat="1" applyFont="1" applyFill="1" applyBorder="1" applyAlignment="1">
      <alignment horizontal="right"/>
    </xf>
    <xf numFmtId="0" fontId="5" fillId="9" borderId="0" xfId="0" applyFont="1" applyFill="1" applyBorder="1"/>
    <xf numFmtId="0" fontId="8" fillId="9" borderId="0" xfId="0" applyFont="1" applyFill="1" applyBorder="1"/>
    <xf numFmtId="180" fontId="8" fillId="9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5" fillId="5" borderId="0" xfId="0" applyFont="1" applyFill="1" applyAlignment="1"/>
    <xf numFmtId="0" fontId="5" fillId="0" borderId="0" xfId="0" applyFont="1" applyBorder="1"/>
    <xf numFmtId="180" fontId="7" fillId="5" borderId="0" xfId="0" applyNumberFormat="1" applyFont="1" applyFill="1" applyBorder="1" applyAlignment="1">
      <alignment horizontal="right"/>
    </xf>
    <xf numFmtId="0" fontId="0" fillId="0" borderId="0" xfId="0" applyFill="1" applyBorder="1" applyAlignment="1"/>
    <xf numFmtId="0" fontId="8" fillId="0" borderId="0" xfId="0" applyFont="1" applyBorder="1"/>
    <xf numFmtId="180" fontId="5" fillId="9" borderId="0" xfId="0" applyNumberFormat="1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74A19C"/>
      <color rgb="00C9E4A9"/>
      <color rgb="00FF858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abSelected="1" zoomScale="85" zoomScaleNormal="85" workbookViewId="0">
      <selection activeCell="K43" sqref="K43"/>
    </sheetView>
  </sheetViews>
  <sheetFormatPr defaultColWidth="9" defaultRowHeight="14.5"/>
  <cols>
    <col min="1" max="1" width="24" customWidth="1"/>
    <col min="2" max="2" width="14" customWidth="1"/>
    <col min="3" max="3" width="10" customWidth="1"/>
    <col min="4" max="4" width="16" customWidth="1"/>
    <col min="5" max="5" width="4" customWidth="1"/>
    <col min="6" max="6" width="2" customWidth="1"/>
    <col min="7" max="7" width="24" customWidth="1"/>
    <col min="8" max="8" width="14" customWidth="1"/>
    <col min="9" max="9" width="10" customWidth="1"/>
    <col min="10" max="10" width="16" customWidth="1"/>
    <col min="11" max="11" width="14" customWidth="1"/>
  </cols>
  <sheetData>
    <row r="1" ht="23.5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6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7"/>
    </row>
    <row r="3" spans="1:11">
      <c r="A3" s="3" t="s">
        <v>2</v>
      </c>
      <c r="B3" s="3"/>
      <c r="C3" s="3"/>
      <c r="D3" s="3"/>
      <c r="E3" s="4"/>
      <c r="F3" s="5"/>
      <c r="G3" s="6" t="s">
        <v>3</v>
      </c>
      <c r="H3" s="7" t="s">
        <v>4</v>
      </c>
      <c r="I3" s="28"/>
      <c r="J3" s="29" t="s">
        <v>5</v>
      </c>
      <c r="K3" s="29"/>
    </row>
    <row r="4" spans="1:11">
      <c r="A4" s="8" t="s">
        <v>6</v>
      </c>
      <c r="B4" s="8"/>
      <c r="C4" s="8"/>
      <c r="D4" s="8"/>
      <c r="E4" s="5"/>
      <c r="F4" s="5"/>
      <c r="G4" s="9" t="s">
        <v>7</v>
      </c>
      <c r="H4" s="9"/>
      <c r="I4" s="9"/>
      <c r="J4" s="9"/>
      <c r="K4" s="5"/>
    </row>
    <row r="5" spans="1:11">
      <c r="A5" s="10" t="s">
        <v>8</v>
      </c>
      <c r="B5" s="11" t="s">
        <v>9</v>
      </c>
      <c r="C5" s="11" t="s">
        <v>10</v>
      </c>
      <c r="D5" s="11" t="s">
        <v>11</v>
      </c>
      <c r="E5" s="5"/>
      <c r="F5" s="5"/>
      <c r="G5" s="10" t="s">
        <v>8</v>
      </c>
      <c r="H5" s="11" t="s">
        <v>9</v>
      </c>
      <c r="I5" s="11" t="s">
        <v>10</v>
      </c>
      <c r="J5" s="11" t="s">
        <v>11</v>
      </c>
      <c r="K5" s="5"/>
    </row>
    <row r="6" spans="1:11">
      <c r="A6" s="12" t="s">
        <v>12</v>
      </c>
      <c r="B6" s="13">
        <v>75000</v>
      </c>
      <c r="C6" s="14">
        <v>1</v>
      </c>
      <c r="D6" s="13">
        <v>75000</v>
      </c>
      <c r="E6" s="5"/>
      <c r="F6" s="5"/>
      <c r="G6" s="12" t="s">
        <v>13</v>
      </c>
      <c r="H6" s="13">
        <v>800000</v>
      </c>
      <c r="I6" s="14">
        <v>1</v>
      </c>
      <c r="J6" s="13">
        <v>800000</v>
      </c>
      <c r="K6" s="5"/>
    </row>
    <row r="7" spans="1:11">
      <c r="A7" s="12" t="s">
        <v>14</v>
      </c>
      <c r="B7" s="13">
        <v>75000</v>
      </c>
      <c r="C7" s="14">
        <v>1</v>
      </c>
      <c r="D7" s="13">
        <v>75000</v>
      </c>
      <c r="E7" s="5"/>
      <c r="F7" s="5"/>
      <c r="G7" s="12" t="s">
        <v>15</v>
      </c>
      <c r="H7" s="13">
        <v>55000</v>
      </c>
      <c r="I7" s="14">
        <v>3</v>
      </c>
      <c r="J7" s="13">
        <v>165000</v>
      </c>
      <c r="K7" s="5"/>
    </row>
    <row r="8" spans="1:11">
      <c r="A8" s="12" t="s">
        <v>16</v>
      </c>
      <c r="B8" s="13">
        <v>75000</v>
      </c>
      <c r="C8" s="14">
        <v>1</v>
      </c>
      <c r="D8" s="13">
        <v>75000</v>
      </c>
      <c r="E8" s="5"/>
      <c r="F8" s="5"/>
      <c r="G8" s="12"/>
      <c r="H8" s="13"/>
      <c r="I8" s="14"/>
      <c r="J8" s="13"/>
      <c r="K8" s="5"/>
    </row>
    <row r="9" spans="1:11">
      <c r="A9" s="12" t="s">
        <v>17</v>
      </c>
      <c r="B9" s="13">
        <v>75000</v>
      </c>
      <c r="C9" s="14">
        <v>1</v>
      </c>
      <c r="D9" s="13">
        <v>75000</v>
      </c>
      <c r="E9" s="5"/>
      <c r="F9" s="5"/>
      <c r="G9" s="5"/>
      <c r="H9" s="5"/>
      <c r="I9" s="5"/>
      <c r="J9" s="5"/>
      <c r="K9" s="5"/>
    </row>
    <row r="10" spans="1:11">
      <c r="A10" s="12" t="s">
        <v>18</v>
      </c>
      <c r="B10" s="13">
        <v>75000</v>
      </c>
      <c r="C10" s="14">
        <v>1</v>
      </c>
      <c r="D10" s="13">
        <v>75000</v>
      </c>
      <c r="E10" s="5"/>
      <c r="F10" s="5"/>
      <c r="G10" s="5"/>
      <c r="H10" s="5"/>
      <c r="I10" s="5"/>
      <c r="J10" s="5"/>
      <c r="K10" s="5"/>
    </row>
    <row r="11" spans="1:11">
      <c r="A11" s="12" t="s">
        <v>19</v>
      </c>
      <c r="B11" s="13">
        <v>75000</v>
      </c>
      <c r="C11" s="14">
        <v>1</v>
      </c>
      <c r="D11" s="13">
        <v>75000</v>
      </c>
      <c r="E11" s="5"/>
      <c r="F11" s="5"/>
      <c r="G11" s="5"/>
      <c r="H11" s="5"/>
      <c r="I11" s="5"/>
      <c r="J11" s="5"/>
      <c r="K11" s="5"/>
    </row>
    <row r="12" spans="1:11">
      <c r="A12" s="12" t="s">
        <v>20</v>
      </c>
      <c r="B12" s="13">
        <v>75000</v>
      </c>
      <c r="C12" s="14">
        <v>1</v>
      </c>
      <c r="D12" s="13">
        <v>75000</v>
      </c>
      <c r="E12" s="5"/>
      <c r="F12" s="5"/>
      <c r="G12" s="5"/>
      <c r="H12" s="5"/>
      <c r="I12" s="5"/>
      <c r="J12" s="5"/>
      <c r="K12" s="5"/>
    </row>
    <row r="13" spans="1:11">
      <c r="A13" s="12" t="s">
        <v>21</v>
      </c>
      <c r="B13" s="13">
        <v>75000</v>
      </c>
      <c r="C13" s="14">
        <v>1</v>
      </c>
      <c r="D13" s="13">
        <v>75000</v>
      </c>
      <c r="E13" s="5"/>
      <c r="F13" s="5"/>
      <c r="G13" s="5"/>
      <c r="H13" s="5"/>
      <c r="I13" s="5"/>
      <c r="J13" s="5"/>
      <c r="K13" s="5"/>
    </row>
    <row r="14" spans="1:11">
      <c r="A14" s="12" t="s">
        <v>22</v>
      </c>
      <c r="B14" s="13">
        <v>75000</v>
      </c>
      <c r="C14" s="14">
        <v>1</v>
      </c>
      <c r="D14" s="13">
        <v>75000</v>
      </c>
      <c r="E14" s="5"/>
      <c r="F14" s="5"/>
      <c r="G14" s="5"/>
      <c r="H14" s="5"/>
      <c r="I14" s="5"/>
      <c r="J14" s="5"/>
      <c r="K14" s="5"/>
    </row>
    <row r="15" spans="1:11">
      <c r="A15" s="12" t="s">
        <v>23</v>
      </c>
      <c r="B15" s="13">
        <v>75000</v>
      </c>
      <c r="C15" s="14">
        <v>1</v>
      </c>
      <c r="D15" s="13">
        <v>75000</v>
      </c>
      <c r="E15" s="5"/>
      <c r="F15" s="5"/>
      <c r="G15" s="5"/>
      <c r="H15" s="5"/>
      <c r="I15" s="5"/>
      <c r="J15" s="5"/>
      <c r="K15" s="5"/>
    </row>
    <row r="16" spans="1:11">
      <c r="A16" s="15" t="s">
        <v>24</v>
      </c>
      <c r="B16" s="15"/>
      <c r="C16" s="15"/>
      <c r="D16" s="16">
        <f>SUM(D6:D15)</f>
        <v>750000</v>
      </c>
      <c r="E16" s="5"/>
      <c r="F16" s="5"/>
      <c r="G16" s="17" t="s">
        <v>25</v>
      </c>
      <c r="H16" s="17"/>
      <c r="I16" s="17"/>
      <c r="J16" s="30">
        <f>SUM(J14:J15)</f>
        <v>0</v>
      </c>
      <c r="K16" s="5"/>
    </row>
    <row r="17" spans="1:1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31"/>
    </row>
    <row r="18" spans="1:11">
      <c r="A18" s="3" t="s">
        <v>26</v>
      </c>
      <c r="B18" s="3"/>
      <c r="C18" s="3"/>
      <c r="D18" s="3"/>
      <c r="E18" s="4"/>
      <c r="F18" s="5"/>
      <c r="G18" s="6" t="s">
        <v>3</v>
      </c>
      <c r="H18" s="7" t="s">
        <v>4</v>
      </c>
      <c r="I18" s="28"/>
      <c r="J18" s="29" t="s">
        <v>5</v>
      </c>
      <c r="K18" s="29"/>
    </row>
    <row r="19" spans="1:11">
      <c r="A19" s="8" t="s">
        <v>6</v>
      </c>
      <c r="B19" s="8"/>
      <c r="C19" s="8"/>
      <c r="D19" s="8"/>
      <c r="E19" s="5"/>
      <c r="F19" s="5"/>
      <c r="G19" s="9" t="s">
        <v>7</v>
      </c>
      <c r="H19" s="9"/>
      <c r="I19" s="9"/>
      <c r="J19" s="9"/>
      <c r="K19" s="5"/>
    </row>
    <row r="20" spans="1:11">
      <c r="A20" s="10" t="s">
        <v>8</v>
      </c>
      <c r="B20" s="11" t="s">
        <v>9</v>
      </c>
      <c r="C20" s="11" t="s">
        <v>10</v>
      </c>
      <c r="D20" s="11" t="s">
        <v>11</v>
      </c>
      <c r="E20" s="5"/>
      <c r="F20" s="5"/>
      <c r="G20" s="10" t="s">
        <v>8</v>
      </c>
      <c r="H20" s="11" t="s">
        <v>9</v>
      </c>
      <c r="I20" s="11" t="s">
        <v>10</v>
      </c>
      <c r="J20" s="11" t="s">
        <v>11</v>
      </c>
      <c r="K20" s="5"/>
    </row>
    <row r="21" spans="1:11">
      <c r="A21" s="12" t="s">
        <v>27</v>
      </c>
      <c r="B21" s="13">
        <v>75000</v>
      </c>
      <c r="C21" s="14">
        <v>1</v>
      </c>
      <c r="D21" s="13">
        <v>75000</v>
      </c>
      <c r="E21" s="5"/>
      <c r="F21" s="5"/>
      <c r="G21" s="12" t="s">
        <v>28</v>
      </c>
      <c r="H21" s="13">
        <v>800000</v>
      </c>
      <c r="I21" s="14">
        <v>1</v>
      </c>
      <c r="J21" s="13">
        <v>800000</v>
      </c>
      <c r="K21" s="5"/>
    </row>
    <row r="22" spans="1:11">
      <c r="A22" s="12" t="s">
        <v>29</v>
      </c>
      <c r="B22" s="13">
        <v>75000</v>
      </c>
      <c r="C22" s="14">
        <v>1</v>
      </c>
      <c r="D22" s="13">
        <v>75000</v>
      </c>
      <c r="E22" s="5"/>
      <c r="F22" s="5"/>
      <c r="G22" s="12" t="s">
        <v>30</v>
      </c>
      <c r="H22" s="13">
        <v>55000</v>
      </c>
      <c r="I22" s="14">
        <v>3</v>
      </c>
      <c r="J22" s="13">
        <v>165000</v>
      </c>
      <c r="K22" s="5"/>
    </row>
    <row r="23" spans="1:11">
      <c r="A23" s="12" t="s">
        <v>31</v>
      </c>
      <c r="B23" s="13">
        <v>75000</v>
      </c>
      <c r="C23" s="14">
        <v>1</v>
      </c>
      <c r="D23" s="13">
        <v>75000</v>
      </c>
      <c r="E23" s="5"/>
      <c r="F23" s="5"/>
      <c r="K23" s="5"/>
    </row>
    <row r="24" spans="1:11">
      <c r="A24" s="12" t="s">
        <v>32</v>
      </c>
      <c r="B24" s="13">
        <v>75000</v>
      </c>
      <c r="C24" s="14">
        <v>1</v>
      </c>
      <c r="D24" s="13">
        <v>75000</v>
      </c>
      <c r="E24" s="5"/>
      <c r="F24" s="5"/>
      <c r="G24" s="5"/>
      <c r="H24" s="5"/>
      <c r="I24" s="5"/>
      <c r="J24" s="5"/>
      <c r="K24" s="5"/>
    </row>
    <row r="25" spans="1:11">
      <c r="A25" s="12" t="s">
        <v>33</v>
      </c>
      <c r="B25" s="13">
        <v>75000</v>
      </c>
      <c r="C25" s="14">
        <v>1</v>
      </c>
      <c r="D25" s="13">
        <v>75000</v>
      </c>
      <c r="E25" s="5"/>
      <c r="F25" s="5"/>
      <c r="G25" s="5"/>
      <c r="H25" s="5"/>
      <c r="I25" s="5"/>
      <c r="J25" s="5"/>
      <c r="K25" s="5"/>
    </row>
    <row r="26" spans="1:11">
      <c r="A26" s="12" t="s">
        <v>34</v>
      </c>
      <c r="B26" s="13">
        <v>75000</v>
      </c>
      <c r="C26" s="14">
        <v>1</v>
      </c>
      <c r="D26" s="13">
        <v>75000</v>
      </c>
      <c r="E26" s="5"/>
      <c r="F26" s="5"/>
      <c r="G26" s="5"/>
      <c r="H26" s="5"/>
      <c r="I26" s="5"/>
      <c r="J26" s="5"/>
      <c r="K26" s="5"/>
    </row>
    <row r="27" spans="1:11">
      <c r="A27" s="12" t="s">
        <v>16</v>
      </c>
      <c r="B27" s="13">
        <v>75000</v>
      </c>
      <c r="C27" s="14">
        <v>1</v>
      </c>
      <c r="D27" s="13">
        <v>75000</v>
      </c>
      <c r="E27" s="5"/>
      <c r="F27" s="5"/>
      <c r="G27" s="5"/>
      <c r="H27" s="5"/>
      <c r="I27" s="5"/>
      <c r="J27" s="5"/>
      <c r="K27" s="5"/>
    </row>
    <row r="28" spans="1:11">
      <c r="A28" s="12" t="s">
        <v>35</v>
      </c>
      <c r="B28" s="13">
        <v>75000</v>
      </c>
      <c r="C28" s="14">
        <v>1</v>
      </c>
      <c r="D28" s="13">
        <v>75000</v>
      </c>
      <c r="E28" s="5"/>
      <c r="F28" s="5"/>
      <c r="G28" s="5"/>
      <c r="H28" s="5"/>
      <c r="I28" s="5"/>
      <c r="J28" s="5"/>
      <c r="K28" s="5"/>
    </row>
    <row r="29" spans="1:11">
      <c r="A29" s="12" t="s">
        <v>12</v>
      </c>
      <c r="B29" s="13">
        <v>75000</v>
      </c>
      <c r="C29" s="14">
        <v>1</v>
      </c>
      <c r="D29" s="13">
        <v>75000</v>
      </c>
      <c r="E29" s="5"/>
      <c r="F29" s="5"/>
      <c r="G29" s="5"/>
      <c r="H29" s="5"/>
      <c r="I29" s="5"/>
      <c r="J29" s="5"/>
      <c r="K29" s="5"/>
    </row>
    <row r="30" spans="1:11">
      <c r="A30" s="12" t="s">
        <v>36</v>
      </c>
      <c r="B30" s="13">
        <v>75000</v>
      </c>
      <c r="C30" s="14">
        <v>1</v>
      </c>
      <c r="D30" s="13">
        <v>75000</v>
      </c>
      <c r="E30" s="5"/>
      <c r="F30" s="5"/>
      <c r="G30" s="5"/>
      <c r="H30" s="5"/>
      <c r="I30" s="5"/>
      <c r="J30" s="5"/>
      <c r="K30" s="5"/>
    </row>
    <row r="31" spans="1:11">
      <c r="A31" s="15" t="s">
        <v>24</v>
      </c>
      <c r="B31" s="15"/>
      <c r="C31" s="15"/>
      <c r="D31" s="16">
        <f>SUM(D21:D30)</f>
        <v>750000</v>
      </c>
      <c r="E31" s="5"/>
      <c r="F31" s="5"/>
      <c r="G31" s="17" t="s">
        <v>25</v>
      </c>
      <c r="H31" s="17"/>
      <c r="I31" s="17"/>
      <c r="J31" s="30">
        <f>SUM(J21:J22)</f>
        <v>965000</v>
      </c>
      <c r="K31" s="5"/>
    </row>
    <row r="32" spans="1:10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>
      <c r="A33" s="3" t="s">
        <v>37</v>
      </c>
      <c r="B33" s="3"/>
      <c r="C33" s="3"/>
      <c r="D33" s="3"/>
      <c r="E33" s="4"/>
      <c r="F33" s="5"/>
      <c r="G33" s="6" t="s">
        <v>3</v>
      </c>
      <c r="H33" s="7" t="s">
        <v>38</v>
      </c>
      <c r="I33" s="28"/>
      <c r="J33" s="32" t="s">
        <v>39</v>
      </c>
    </row>
    <row r="34" spans="1:11">
      <c r="A34" s="8" t="s">
        <v>6</v>
      </c>
      <c r="B34" s="8"/>
      <c r="C34" s="8"/>
      <c r="D34" s="8"/>
      <c r="E34" s="5"/>
      <c r="F34" s="5"/>
      <c r="G34" s="9" t="s">
        <v>7</v>
      </c>
      <c r="H34" s="9"/>
      <c r="I34" s="9"/>
      <c r="J34" s="9"/>
      <c r="K34" s="5"/>
    </row>
    <row r="35" spans="1:11">
      <c r="A35" s="10" t="s">
        <v>8</v>
      </c>
      <c r="B35" s="11" t="s">
        <v>9</v>
      </c>
      <c r="C35" s="11" t="s">
        <v>10</v>
      </c>
      <c r="D35" s="11" t="s">
        <v>11</v>
      </c>
      <c r="E35" s="5"/>
      <c r="F35" s="5"/>
      <c r="G35" s="10" t="s">
        <v>8</v>
      </c>
      <c r="H35" s="11" t="s">
        <v>9</v>
      </c>
      <c r="I35" s="11" t="s">
        <v>10</v>
      </c>
      <c r="J35" s="11" t="s">
        <v>11</v>
      </c>
      <c r="K35" s="5"/>
    </row>
    <row r="36" spans="1:11">
      <c r="A36" s="12" t="s">
        <v>27</v>
      </c>
      <c r="B36" s="13">
        <v>75000</v>
      </c>
      <c r="C36" s="14">
        <v>1</v>
      </c>
      <c r="D36" s="13">
        <v>75000</v>
      </c>
      <c r="E36" s="5"/>
      <c r="F36" s="5"/>
      <c r="K36" s="5"/>
    </row>
    <row r="37" spans="1:11">
      <c r="A37" s="12" t="s">
        <v>40</v>
      </c>
      <c r="B37" s="13">
        <v>75000</v>
      </c>
      <c r="C37" s="14">
        <v>1</v>
      </c>
      <c r="D37" s="13">
        <v>75000</v>
      </c>
      <c r="E37" s="5"/>
      <c r="F37" s="5"/>
      <c r="G37" s="5"/>
      <c r="H37" s="5"/>
      <c r="I37" s="5"/>
      <c r="J37" s="5"/>
      <c r="K37" s="5"/>
    </row>
    <row r="38" spans="1:11">
      <c r="A38" s="12" t="s">
        <v>41</v>
      </c>
      <c r="B38" s="13">
        <v>75000</v>
      </c>
      <c r="C38" s="14">
        <v>1</v>
      </c>
      <c r="D38" s="13">
        <v>75000</v>
      </c>
      <c r="E38" s="5"/>
      <c r="F38" s="5"/>
      <c r="G38" s="5"/>
      <c r="H38" s="5"/>
      <c r="I38" s="5"/>
      <c r="J38" s="5"/>
      <c r="K38" s="5"/>
    </row>
    <row r="39" spans="1:11">
      <c r="A39" s="12" t="s">
        <v>42</v>
      </c>
      <c r="B39" s="13">
        <v>75000</v>
      </c>
      <c r="C39" s="14">
        <v>1</v>
      </c>
      <c r="D39" s="13">
        <v>75000</v>
      </c>
      <c r="E39" s="5"/>
      <c r="F39" s="5"/>
      <c r="G39" s="5"/>
      <c r="H39" s="5"/>
      <c r="I39" s="5"/>
      <c r="J39" s="5"/>
      <c r="K39" s="5"/>
    </row>
    <row r="40" spans="1:11">
      <c r="A40" s="12" t="s">
        <v>43</v>
      </c>
      <c r="B40" s="13">
        <v>75000</v>
      </c>
      <c r="C40" s="14">
        <v>1</v>
      </c>
      <c r="D40" s="13">
        <v>75000</v>
      </c>
      <c r="E40" s="5"/>
      <c r="F40" s="5"/>
      <c r="G40" s="5"/>
      <c r="H40" s="5"/>
      <c r="I40" s="5"/>
      <c r="J40" s="5"/>
      <c r="K40" s="5"/>
    </row>
    <row r="41" spans="1:11">
      <c r="A41" s="12" t="s">
        <v>44</v>
      </c>
      <c r="B41" s="13">
        <v>75000</v>
      </c>
      <c r="C41" s="14">
        <v>1</v>
      </c>
      <c r="D41" s="13">
        <v>75000</v>
      </c>
      <c r="E41" s="5"/>
      <c r="F41" s="5"/>
      <c r="G41" s="5"/>
      <c r="H41" s="5"/>
      <c r="I41" s="5"/>
      <c r="J41" s="5"/>
      <c r="K41" s="5"/>
    </row>
    <row r="42" spans="1:11">
      <c r="A42" s="12" t="s">
        <v>14</v>
      </c>
      <c r="B42" s="13">
        <v>75000</v>
      </c>
      <c r="C42" s="14">
        <v>1</v>
      </c>
      <c r="D42" s="13">
        <v>75000</v>
      </c>
      <c r="E42" s="5"/>
      <c r="F42" s="5"/>
      <c r="G42" s="5"/>
      <c r="H42" s="5"/>
      <c r="I42" s="5"/>
      <c r="J42" s="5"/>
      <c r="K42" s="5"/>
    </row>
    <row r="43" spans="1:11">
      <c r="A43" s="12" t="s">
        <v>45</v>
      </c>
      <c r="B43" s="13">
        <v>75000</v>
      </c>
      <c r="C43" s="14">
        <v>1</v>
      </c>
      <c r="D43" s="13">
        <v>75000</v>
      </c>
      <c r="E43" s="5"/>
      <c r="F43" s="5"/>
      <c r="G43" s="5"/>
      <c r="H43" s="5"/>
      <c r="I43" s="5"/>
      <c r="J43" s="5"/>
      <c r="K43" s="5"/>
    </row>
    <row r="44" spans="1:11">
      <c r="A44" s="12" t="s">
        <v>12</v>
      </c>
      <c r="B44" s="13">
        <v>75000</v>
      </c>
      <c r="C44" s="14">
        <v>1</v>
      </c>
      <c r="D44" s="13">
        <v>75000</v>
      </c>
      <c r="E44" s="5"/>
      <c r="F44" s="5"/>
      <c r="G44" s="5"/>
      <c r="H44" s="5"/>
      <c r="I44" s="5"/>
      <c r="J44" s="5"/>
      <c r="K44" s="5"/>
    </row>
    <row r="45" spans="1:11">
      <c r="A45" s="12" t="s">
        <v>46</v>
      </c>
      <c r="B45" s="13">
        <v>75000</v>
      </c>
      <c r="C45" s="14">
        <v>1</v>
      </c>
      <c r="D45" s="13">
        <v>75000</v>
      </c>
      <c r="E45" s="5"/>
      <c r="F45" s="5"/>
      <c r="G45" s="5"/>
      <c r="H45" s="5"/>
      <c r="I45" s="5"/>
      <c r="J45" s="5"/>
      <c r="K45" s="5"/>
    </row>
    <row r="46" spans="1:11">
      <c r="A46" s="15" t="s">
        <v>24</v>
      </c>
      <c r="B46" s="15"/>
      <c r="C46" s="15"/>
      <c r="D46" s="16">
        <f>SUM(D36:D45)</f>
        <v>750000</v>
      </c>
      <c r="E46" s="5"/>
      <c r="F46" s="5"/>
      <c r="G46" s="17" t="s">
        <v>25</v>
      </c>
      <c r="H46" s="17"/>
      <c r="I46" s="17"/>
      <c r="J46" s="30">
        <v>0</v>
      </c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19" t="s">
        <v>47</v>
      </c>
      <c r="B48" s="19"/>
      <c r="C48" s="19"/>
      <c r="D48" s="19"/>
      <c r="E48" s="19"/>
      <c r="F48" s="20"/>
      <c r="G48" s="20"/>
      <c r="H48" s="20"/>
      <c r="I48" s="20"/>
      <c r="J48" s="20"/>
      <c r="K48" s="5"/>
    </row>
    <row r="49" spans="1:11">
      <c r="A49" s="21" t="s">
        <v>48</v>
      </c>
      <c r="B49" s="21"/>
      <c r="C49" s="21"/>
      <c r="D49" s="22">
        <f>SUM(D16,D31,D46)</f>
        <v>2250000</v>
      </c>
      <c r="E49" s="20"/>
      <c r="F49" s="20"/>
      <c r="G49" s="23" t="s">
        <v>49</v>
      </c>
      <c r="H49" s="23"/>
      <c r="I49" s="23"/>
      <c r="J49" s="33">
        <f>SUM(J8,J31,J46)</f>
        <v>965000</v>
      </c>
      <c r="K49" s="5"/>
    </row>
    <row r="50" spans="1:11">
      <c r="A50" s="24" t="s">
        <v>50</v>
      </c>
      <c r="B50" s="24"/>
      <c r="C50" s="24"/>
      <c r="D50" s="25">
        <f>D49-J49</f>
        <v>1285000</v>
      </c>
      <c r="E50" s="20"/>
      <c r="F50" s="20"/>
      <c r="G50" s="20"/>
      <c r="H50" s="20"/>
      <c r="I50" s="20"/>
      <c r="J50" s="20"/>
      <c r="K50" s="5"/>
    </row>
  </sheetData>
  <mergeCells count="26">
    <mergeCell ref="A1:J1"/>
    <mergeCell ref="A2:J2"/>
    <mergeCell ref="A3:D3"/>
    <mergeCell ref="H3:I3"/>
    <mergeCell ref="A4:D4"/>
    <mergeCell ref="G4:J4"/>
    <mergeCell ref="A16:C16"/>
    <mergeCell ref="G16:I16"/>
    <mergeCell ref="A17:J17"/>
    <mergeCell ref="A18:D18"/>
    <mergeCell ref="H18:I18"/>
    <mergeCell ref="A19:D19"/>
    <mergeCell ref="G19:J19"/>
    <mergeCell ref="A31:C31"/>
    <mergeCell ref="G31:I31"/>
    <mergeCell ref="A32:J32"/>
    <mergeCell ref="A33:D33"/>
    <mergeCell ref="H33:I33"/>
    <mergeCell ref="A34:D34"/>
    <mergeCell ref="G34:J34"/>
    <mergeCell ref="A46:C46"/>
    <mergeCell ref="G46:I46"/>
    <mergeCell ref="A48:E48"/>
    <mergeCell ref="A49:C49"/>
    <mergeCell ref="G49:I49"/>
    <mergeCell ref="A50:C50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Cashflow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Ferky Saputra</cp:lastModifiedBy>
  <dcterms:created xsi:type="dcterms:W3CDTF">2025-11-20T08:11:00Z</dcterms:created>
  <dcterms:modified xsi:type="dcterms:W3CDTF">2025-12-30T04:22:47Z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96802371D20C46DBB4C6DE2CC3B9994E_12</vt:lpwstr>
  </property>
  <property fmtid="{D5CDD505-2E9C-101B-9397-08002B2CF9AE}" pid="3" name="KSOProductBuildVer">
    <vt:lpwstr>1033-12.2.0.23196</vt:lpwstr>
  </property>
</Properties>
</file>